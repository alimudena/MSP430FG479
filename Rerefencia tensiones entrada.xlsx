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STRIKE\MSP430FG479\"/>
    </mc:Choice>
  </mc:AlternateContent>
  <xr:revisionPtr revIDLastSave="0" documentId="13_ncr:1_{6EDD4186-F5E1-4A37-A80C-B99066FEA8B2}" xr6:coauthVersionLast="47" xr6:coauthVersionMax="47" xr10:uidLastSave="{00000000-0000-0000-0000-000000000000}"/>
  <bookViews>
    <workbookView xWindow="-120" yWindow="-16320" windowWidth="29040" windowHeight="15720" xr2:uid="{D4480093-F1CA-4DE4-A6D7-23C3D0A7A5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9" i="1" s="1"/>
  <c r="I9" i="1" s="1"/>
  <c r="B10" i="1"/>
  <c r="C10" i="1" s="1"/>
  <c r="I10" i="1" s="1"/>
  <c r="C4" i="1"/>
  <c r="G16" i="1" s="1"/>
  <c r="N4" i="1"/>
  <c r="C8" i="1"/>
  <c r="G20" i="1" s="1"/>
  <c r="B5" i="1"/>
  <c r="C5" i="1" s="1"/>
  <c r="B6" i="1"/>
  <c r="C6" i="1" s="1"/>
  <c r="B7" i="1"/>
  <c r="C7" i="1" s="1"/>
  <c r="B8" i="1"/>
  <c r="B4" i="1"/>
  <c r="I5" i="1" l="1"/>
  <c r="G17" i="1"/>
  <c r="I6" i="1"/>
  <c r="G18" i="1"/>
  <c r="G19" i="1"/>
  <c r="I7" i="1"/>
  <c r="I8" i="1"/>
  <c r="I4" i="1"/>
</calcChain>
</file>

<file path=xl/sharedStrings.xml><?xml version="1.0" encoding="utf-8"?>
<sst xmlns="http://schemas.openxmlformats.org/spreadsheetml/2006/main" count="19" uniqueCount="17">
  <si>
    <t>Vref</t>
  </si>
  <si>
    <t>Vin</t>
  </si>
  <si>
    <t>Max int</t>
  </si>
  <si>
    <t>Min int</t>
  </si>
  <si>
    <t>Val expected bip</t>
  </si>
  <si>
    <t>Val expected unipol</t>
  </si>
  <si>
    <t>Obtained bip</t>
  </si>
  <si>
    <t>Obtained unip</t>
  </si>
  <si>
    <t>Corresponding obtained unip</t>
  </si>
  <si>
    <t>Corresponding obtained bip</t>
  </si>
  <si>
    <t>Vref_real</t>
  </si>
  <si>
    <t>DeltaV</t>
  </si>
  <si>
    <t>EEG1</t>
  </si>
  <si>
    <t>EEG2</t>
  </si>
  <si>
    <t>EEG3</t>
  </si>
  <si>
    <t>ECG</t>
  </si>
  <si>
    <t>BATT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</si>
</sst>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7" formatCode="0.00000"/>
    <numFmt numFmtId="171" formatCode="0E+0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71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1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3BD7F-949D-4C48-84C3-F4D6C5FB4091}">
  <dimension ref="A3:N20"/>
  <sheetViews>
    <sheetView tabSelected="1" workbookViewId="0">
      <selection activeCell="D11" sqref="D11"/>
    </sheetView>
  </sheetViews>
  <sheetFormatPr baseColWidth="10" defaultRowHeight="14.4" x14ac:dyDescent="0.3"/>
  <cols>
    <col min="8" max="8" width="24.109375" bestFit="1" customWidth="1"/>
    <col min="9" max="9" width="23.109375" bestFit="1" customWidth="1"/>
    <col min="11" max="11" width="13.5546875" customWidth="1"/>
    <col min="12" max="12" width="12.77734375" customWidth="1"/>
    <col min="14" max="14" width="12" bestFit="1" customWidth="1"/>
  </cols>
  <sheetData>
    <row r="3" spans="1:14" x14ac:dyDescent="0.3">
      <c r="B3" t="s">
        <v>0</v>
      </c>
      <c r="C3" t="s">
        <v>10</v>
      </c>
      <c r="D3" t="s">
        <v>1</v>
      </c>
      <c r="F3" t="s">
        <v>2</v>
      </c>
      <c r="G3" t="s">
        <v>3</v>
      </c>
      <c r="H3" t="s">
        <v>4</v>
      </c>
      <c r="I3" t="s">
        <v>5</v>
      </c>
    </row>
    <row r="4" spans="1:14" x14ac:dyDescent="0.3">
      <c r="A4" t="s">
        <v>12</v>
      </c>
      <c r="B4">
        <f>1.2</f>
        <v>1.2</v>
      </c>
      <c r="C4" s="2">
        <f>B4/2</f>
        <v>0.6</v>
      </c>
      <c r="D4" s="3">
        <v>0.59</v>
      </c>
      <c r="F4">
        <v>65535</v>
      </c>
      <c r="G4">
        <v>0</v>
      </c>
      <c r="I4" s="1">
        <f>F4*D4/C4</f>
        <v>64442.750000000007</v>
      </c>
      <c r="M4" t="s">
        <v>11</v>
      </c>
      <c r="N4" s="5">
        <f>C4/F4</f>
        <v>9.1554131380178534E-6</v>
      </c>
    </row>
    <row r="5" spans="1:14" x14ac:dyDescent="0.3">
      <c r="A5" t="s">
        <v>13</v>
      </c>
      <c r="B5">
        <f t="shared" ref="B5:B11" si="0">1.2</f>
        <v>1.2</v>
      </c>
      <c r="C5" s="2">
        <f t="shared" ref="C5:C11" si="1">B5/2</f>
        <v>0.6</v>
      </c>
      <c r="D5" s="3">
        <v>0.43099999999999999</v>
      </c>
      <c r="F5">
        <v>65535</v>
      </c>
      <c r="G5">
        <v>0</v>
      </c>
      <c r="I5" s="1">
        <f>D5*F5/C5</f>
        <v>47075.974999999999</v>
      </c>
    </row>
    <row r="6" spans="1:14" x14ac:dyDescent="0.3">
      <c r="A6" t="s">
        <v>14</v>
      </c>
      <c r="B6">
        <f t="shared" si="0"/>
        <v>1.2</v>
      </c>
      <c r="C6" s="2">
        <f t="shared" si="1"/>
        <v>0.6</v>
      </c>
      <c r="D6" s="3">
        <v>0.28699999999999998</v>
      </c>
      <c r="F6">
        <v>65535</v>
      </c>
      <c r="G6">
        <v>0</v>
      </c>
      <c r="I6" s="1">
        <f>F6*D6/C6</f>
        <v>31347.574999999997</v>
      </c>
    </row>
    <row r="7" spans="1:14" x14ac:dyDescent="0.3">
      <c r="A7" t="s">
        <v>15</v>
      </c>
      <c r="B7">
        <f t="shared" si="0"/>
        <v>1.2</v>
      </c>
      <c r="C7" s="2">
        <f t="shared" si="1"/>
        <v>0.6</v>
      </c>
      <c r="D7" s="3">
        <v>0.155</v>
      </c>
      <c r="F7">
        <v>65535</v>
      </c>
      <c r="G7">
        <v>0</v>
      </c>
      <c r="I7" s="1">
        <f>F7*D7/C7</f>
        <v>16929.875</v>
      </c>
    </row>
    <row r="8" spans="1:14" x14ac:dyDescent="0.3">
      <c r="A8" s="6" t="s">
        <v>16</v>
      </c>
      <c r="B8" s="6">
        <f t="shared" si="0"/>
        <v>1.2</v>
      </c>
      <c r="C8" s="7">
        <f t="shared" si="1"/>
        <v>0.6</v>
      </c>
      <c r="D8" s="8">
        <v>0.6</v>
      </c>
      <c r="E8" s="6"/>
      <c r="F8" s="6">
        <v>65535</v>
      </c>
      <c r="G8" s="6">
        <v>0</v>
      </c>
      <c r="H8" s="6"/>
      <c r="I8" s="9">
        <f t="shared" ref="I8:I11" si="2">F8*D8/C8</f>
        <v>65535</v>
      </c>
    </row>
    <row r="9" spans="1:14" x14ac:dyDescent="0.3">
      <c r="A9" s="10" t="s">
        <v>16</v>
      </c>
      <c r="B9" s="10">
        <f t="shared" si="0"/>
        <v>1.2</v>
      </c>
      <c r="C9" s="11">
        <f>B9/2</f>
        <v>0.6</v>
      </c>
      <c r="D9" s="12">
        <v>0.33200000000000002</v>
      </c>
      <c r="E9" s="10"/>
      <c r="F9" s="10">
        <v>65535</v>
      </c>
      <c r="G9" s="10">
        <v>0</v>
      </c>
      <c r="H9" s="10"/>
      <c r="I9" s="13">
        <f t="shared" si="2"/>
        <v>36262.700000000004</v>
      </c>
    </row>
    <row r="10" spans="1:14" x14ac:dyDescent="0.3">
      <c r="A10" s="14" t="s">
        <v>16</v>
      </c>
      <c r="B10" s="14">
        <f t="shared" si="0"/>
        <v>1.2</v>
      </c>
      <c r="C10" s="15">
        <f t="shared" si="1"/>
        <v>0.6</v>
      </c>
      <c r="D10" s="16">
        <v>0.1</v>
      </c>
      <c r="E10" s="14"/>
      <c r="F10" s="14">
        <v>65535</v>
      </c>
      <c r="G10" s="14">
        <v>0</v>
      </c>
      <c r="H10" s="14"/>
      <c r="I10" s="17">
        <f t="shared" si="2"/>
        <v>10922.5</v>
      </c>
    </row>
    <row r="11" spans="1:14" x14ac:dyDescent="0.3">
      <c r="C11" s="2"/>
      <c r="D11" s="3"/>
      <c r="I11" s="1"/>
    </row>
    <row r="15" spans="1:14" x14ac:dyDescent="0.3">
      <c r="C15" t="s">
        <v>6</v>
      </c>
      <c r="D15" t="s">
        <v>7</v>
      </c>
      <c r="F15" t="s">
        <v>8</v>
      </c>
      <c r="G15" t="s">
        <v>9</v>
      </c>
    </row>
    <row r="16" spans="1:14" x14ac:dyDescent="0.3">
      <c r="D16">
        <v>65535</v>
      </c>
      <c r="G16" s="4">
        <f>D16*C4/F4</f>
        <v>0.6</v>
      </c>
    </row>
    <row r="17" spans="4:7" x14ac:dyDescent="0.3">
      <c r="D17">
        <v>47484</v>
      </c>
      <c r="G17" s="4">
        <f>D17*C5/F5</f>
        <v>0.4347356374456397</v>
      </c>
    </row>
    <row r="18" spans="4:7" x14ac:dyDescent="0.3">
      <c r="D18">
        <v>37156</v>
      </c>
      <c r="G18" s="4">
        <f>D18*C6/F6</f>
        <v>0.34017853055619135</v>
      </c>
    </row>
    <row r="19" spans="4:7" x14ac:dyDescent="0.3">
      <c r="D19">
        <v>21856</v>
      </c>
      <c r="G19" s="4">
        <f>D19*C7/F7</f>
        <v>0.2001007095445182</v>
      </c>
    </row>
    <row r="20" spans="4:7" x14ac:dyDescent="0.3">
      <c r="G20" s="4">
        <f>D20*C8/F8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CALATRAVA MORENO</dc:creator>
  <cp:lastModifiedBy>ALMUDENA CALATRAVA MORENO</cp:lastModifiedBy>
  <dcterms:created xsi:type="dcterms:W3CDTF">2025-06-16T10:43:41Z</dcterms:created>
  <dcterms:modified xsi:type="dcterms:W3CDTF">2025-06-17T16:20:36Z</dcterms:modified>
</cp:coreProperties>
</file>